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G\Downloads\School\MAN4720 - Strategic Management\Costco Analysis\"/>
    </mc:Choice>
  </mc:AlternateContent>
  <xr:revisionPtr revIDLastSave="0" documentId="13_ncr:1_{64B9E3AB-0CA4-4894-A2C5-B4DF66A74976}" xr6:coauthVersionLast="47" xr6:coauthVersionMax="47" xr10:uidLastSave="{00000000-0000-0000-0000-000000000000}"/>
  <bookViews>
    <workbookView xWindow="-120" yWindow="-120" windowWidth="38640" windowHeight="21120" activeTab="1" xr2:uid="{EB5B2875-298C-472A-A329-CDA8D2A7AC08}"/>
  </bookViews>
  <sheets>
    <sheet name="Team 8 Analysis" sheetId="3" r:id="rId1"/>
    <sheet name="Assumptions and Initial Number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4" l="1"/>
  <c r="E17" i="4"/>
  <c r="B30" i="3"/>
  <c r="F29" i="3"/>
  <c r="B10" i="4"/>
  <c r="E15" i="4" s="1"/>
  <c r="E16" i="4" s="1"/>
  <c r="B14" i="4"/>
  <c r="B33" i="4"/>
  <c r="B34" i="4" s="1"/>
  <c r="B38" i="4"/>
  <c r="B15" i="4"/>
  <c r="E4" i="4" s="1"/>
  <c r="H8" i="4"/>
  <c r="E30" i="4"/>
  <c r="B32" i="4"/>
  <c r="B31" i="4"/>
  <c r="B24" i="4"/>
  <c r="B26" i="4" s="1"/>
  <c r="B5" i="4"/>
  <c r="B6" i="4"/>
  <c r="E14" i="4" s="1"/>
  <c r="E2" i="4"/>
  <c r="E3" i="4" s="1"/>
  <c r="L18" i="3"/>
  <c r="K18" i="3"/>
  <c r="K9" i="3"/>
  <c r="J9" i="3"/>
  <c r="I9" i="3"/>
  <c r="H9" i="3"/>
  <c r="G9" i="3"/>
  <c r="F9" i="3"/>
  <c r="E9" i="3"/>
  <c r="D9" i="3"/>
  <c r="C9" i="3"/>
  <c r="B6" i="3" l="1"/>
  <c r="B31" i="3"/>
  <c r="B5" i="3" s="1"/>
  <c r="B7" i="3"/>
  <c r="B3" i="3"/>
  <c r="B8" i="3"/>
  <c r="B4" i="3"/>
  <c r="L9" i="3"/>
  <c r="E23" i="4"/>
  <c r="B28" i="3" s="1"/>
  <c r="D28" i="3" s="1"/>
  <c r="C11" i="3" s="1"/>
  <c r="D11" i="3" s="1"/>
  <c r="E11" i="3" s="1"/>
  <c r="F11" i="3" s="1"/>
  <c r="G11" i="3" s="1"/>
  <c r="H11" i="3" s="1"/>
  <c r="I11" i="3" s="1"/>
  <c r="J11" i="3" s="1"/>
  <c r="K11" i="3" s="1"/>
  <c r="L11" i="3" s="1"/>
  <c r="E35" i="4"/>
  <c r="B39" i="4"/>
  <c r="F28" i="3" s="1"/>
  <c r="E31" i="4"/>
  <c r="E22" i="4"/>
  <c r="F30" i="3" l="1"/>
  <c r="F33" i="3" s="1"/>
  <c r="D14" i="3" s="1"/>
  <c r="D18" i="3" s="1"/>
  <c r="B9" i="3"/>
  <c r="B23" i="3" s="1"/>
  <c r="E32" i="4"/>
  <c r="B29" i="3" s="1"/>
  <c r="C12" i="3" s="1"/>
  <c r="D12" i="3" s="1"/>
  <c r="E12" i="3" s="1"/>
  <c r="F12" i="3" s="1"/>
  <c r="G12" i="3" s="1"/>
  <c r="H12" i="3" s="1"/>
  <c r="I12" i="3" s="1"/>
  <c r="J12" i="3" s="1"/>
  <c r="K12" i="3" s="1"/>
  <c r="L12" i="3" s="1"/>
  <c r="E38" i="4"/>
  <c r="E39" i="4" s="1"/>
  <c r="E36" i="4"/>
  <c r="D31" i="3" s="1"/>
  <c r="C13" i="3" s="1"/>
  <c r="D13" i="3" s="1"/>
  <c r="E13" i="3" s="1"/>
  <c r="F13" i="3" s="1"/>
  <c r="G13" i="3" s="1"/>
  <c r="H13" i="3" s="1"/>
  <c r="I13" i="3" s="1"/>
  <c r="J13" i="3" s="1"/>
  <c r="K13" i="3" s="1"/>
  <c r="L13" i="3" s="1"/>
  <c r="C14" i="3" l="1"/>
  <c r="C18" i="3" s="1"/>
  <c r="H14" i="3"/>
  <c r="H18" i="3" s="1"/>
  <c r="I14" i="3"/>
  <c r="I18" i="3" s="1"/>
  <c r="J14" i="3"/>
  <c r="J18" i="3" s="1"/>
  <c r="G14" i="3"/>
  <c r="G18" i="3" s="1"/>
  <c r="F14" i="3"/>
  <c r="F18" i="3" s="1"/>
  <c r="E14" i="3"/>
  <c r="E18" i="3" s="1"/>
  <c r="C15" i="3"/>
  <c r="C16" i="3" s="1"/>
  <c r="C17" i="3" s="1"/>
  <c r="C19" i="3" s="1"/>
  <c r="C23" i="3" s="1"/>
  <c r="D15" i="3"/>
  <c r="D16" i="3" s="1"/>
  <c r="D17" i="3" s="1"/>
  <c r="D19" i="3" s="1"/>
  <c r="D23" i="3" s="1"/>
  <c r="E15" i="3"/>
  <c r="E16" i="3" l="1"/>
  <c r="E17" i="3" s="1"/>
  <c r="E19" i="3" s="1"/>
  <c r="F15" i="3"/>
  <c r="F16" i="3" l="1"/>
  <c r="F17" i="3" s="1"/>
  <c r="F19" i="3" s="1"/>
  <c r="E23" i="3"/>
  <c r="G15" i="3"/>
  <c r="F23" i="3" l="1"/>
  <c r="H15" i="3"/>
  <c r="G16" i="3"/>
  <c r="G17" i="3" s="1"/>
  <c r="G19" i="3" s="1"/>
  <c r="I15" i="3" l="1"/>
  <c r="H16" i="3"/>
  <c r="H17" i="3" s="1"/>
  <c r="H19" i="3" s="1"/>
  <c r="G23" i="3"/>
  <c r="I16" i="3" l="1"/>
  <c r="I17" i="3" s="1"/>
  <c r="I19" i="3" s="1"/>
  <c r="J15" i="3"/>
  <c r="H23" i="3"/>
  <c r="J16" i="3" l="1"/>
  <c r="J17" i="3" s="1"/>
  <c r="J19" i="3" s="1"/>
  <c r="J23" i="3" s="1"/>
  <c r="K15" i="3"/>
  <c r="I23" i="3"/>
  <c r="K16" i="3" l="1"/>
  <c r="K17" i="3" s="1"/>
  <c r="K19" i="3" s="1"/>
  <c r="L15" i="3"/>
  <c r="L16" i="3" l="1"/>
  <c r="L17" i="3" s="1"/>
  <c r="L19" i="3" s="1"/>
  <c r="L23" i="3" s="1"/>
  <c r="K23" i="3"/>
  <c r="B25" i="3" l="1"/>
  <c r="B26" i="3"/>
</calcChain>
</file>

<file path=xl/sharedStrings.xml><?xml version="1.0" encoding="utf-8"?>
<sst xmlns="http://schemas.openxmlformats.org/spreadsheetml/2006/main" count="124" uniqueCount="121">
  <si>
    <t>EV Chargers at Costco</t>
  </si>
  <si>
    <t>Initial Cash</t>
  </si>
  <si>
    <t>Outflow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</si>
  <si>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</si>
  <si>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</si>
  <si>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</si>
  <si>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</si>
  <si>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</si>
  <si>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</si>
  <si>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</si>
  <si>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</si>
  <si>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</si>
  <si>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</si>
  <si>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Charger Unit and Service Upgrades</t>
  </si>
  <si>
    <t>Shipping / Delivery</t>
  </si>
  <si>
    <t>Installation and Labor</t>
  </si>
  <si>
    <t>Permits and Inspections</t>
  </si>
  <si>
    <t xml:space="preserve">Maintenance Costs </t>
  </si>
  <si>
    <t>Depreciation</t>
  </si>
  <si>
    <t>Taxes</t>
  </si>
  <si>
    <t xml:space="preserve"> </t>
  </si>
  <si>
    <t>NPV</t>
  </si>
  <si>
    <t>=NPV(B34,C23:L23)+B23</t>
  </si>
  <si>
    <t>IRR</t>
  </si>
  <si>
    <t>=IRR(B23:L23)</t>
  </si>
  <si>
    <t>Assumptions</t>
  </si>
  <si>
    <t>Times % TGT</t>
  </si>
  <si>
    <t>TGT Sales</t>
  </si>
  <si>
    <t>Growth Year/Year</t>
  </si>
  <si>
    <t>Max Potential Rev for Chargers</t>
  </si>
  <si>
    <t>Machines</t>
  </si>
  <si>
    <t>Shipping (above)</t>
  </si>
  <si>
    <t>Variable Cost Growth Rate</t>
  </si>
  <si>
    <t>Total</t>
  </si>
  <si>
    <t>Private Label Fee</t>
  </si>
  <si>
    <t>Tax Rate</t>
  </si>
  <si>
    <t>Inflation</t>
  </si>
  <si>
    <t>8 year life straight line (12.5%)</t>
  </si>
  <si>
    <t>Added Scenarios Team 8</t>
  </si>
  <si>
    <t>Base</t>
  </si>
  <si>
    <t>+/-</t>
  </si>
  <si>
    <t>New #</t>
  </si>
  <si>
    <t>Low IRR</t>
  </si>
  <si>
    <t>High IRR</t>
  </si>
  <si>
    <t xml:space="preserve">Growth Year/Year </t>
  </si>
  <si>
    <t>With 40% of sales target and 8% growth rate</t>
  </si>
  <si>
    <t>Both</t>
  </si>
  <si>
    <t>this project could go</t>
  </si>
  <si>
    <t>Wawa Info</t>
  </si>
  <si>
    <t>Average Cost Per Charger</t>
  </si>
  <si>
    <t xml:space="preserve">Wawa Total Locations </t>
  </si>
  <si>
    <t>Charger Unit</t>
  </si>
  <si>
    <t>Electrical Service Upgrades</t>
  </si>
  <si>
    <t>Electrical Installation Labor</t>
  </si>
  <si>
    <t>Wawa Locations in Orl, Jax, Tampa, South Florida with EV Chargers</t>
  </si>
  <si>
    <t>Permits &amp; Inspections</t>
  </si>
  <si>
    <t xml:space="preserve">Delivery &amp; Logistics </t>
  </si>
  <si>
    <t>Total Cost</t>
  </si>
  <si>
    <t>Costco Info</t>
  </si>
  <si>
    <t>EV Charger Cost Info</t>
  </si>
  <si>
    <t>Costco Cost for EV fast charger</t>
  </si>
  <si>
    <t>Cost of private labeled EV charger</t>
  </si>
  <si>
    <t>Costco/Wawa Square Footage</t>
  </si>
  <si>
    <t>Cost of Tesla EV Charger</t>
  </si>
  <si>
    <t>Estimated Additional Cost of Private Labeling per Charger</t>
  </si>
  <si>
    <t>Tesla Charger Info</t>
  </si>
  <si>
    <t>Revenue</t>
  </si>
  <si>
    <t>Total Chargers in US as of 2025</t>
  </si>
  <si>
    <t>Gas Info</t>
  </si>
  <si>
    <t>Variable Costs</t>
  </si>
  <si>
    <t>Costco Gas Discount</t>
  </si>
  <si>
    <t>Gas Price</t>
  </si>
  <si>
    <t>Costco Gas Price</t>
  </si>
  <si>
    <t xml:space="preserve">Discount Percentage </t>
  </si>
  <si>
    <t xml:space="preserve">Electric Cost to Revenue Percentage </t>
  </si>
  <si>
    <t xml:space="preserve">Maintenance Costs to Revenue Percentage </t>
  </si>
  <si>
    <t xml:space="preserve">Depreciation </t>
  </si>
  <si>
    <t>Cost of Machine</t>
  </si>
  <si>
    <t>Total Variable Costs</t>
  </si>
  <si>
    <t>Total Depreciation</t>
  </si>
  <si>
    <t>Variable Costs as a Percentage of Revenue</t>
  </si>
  <si>
    <t>Site Prep and Cabling</t>
  </si>
  <si>
    <t>Maintenance Costs</t>
  </si>
  <si>
    <t>Average Maintenance Costs Per Charger Per Year</t>
  </si>
  <si>
    <t>Maintenance Costs for All Costco Chargers</t>
  </si>
  <si>
    <t>Florida Average Electricity Rate</t>
  </si>
  <si>
    <t>Cost for All Costco Chargers per Year</t>
  </si>
  <si>
    <t>Cost per Charger for Costco</t>
  </si>
  <si>
    <t xml:space="preserve">Wawa Revenue for All Locations </t>
  </si>
  <si>
    <t>Costco Potential Revenue First Year after Input of Chargers</t>
  </si>
  <si>
    <t>Total Cost for Costco EV Chargers</t>
  </si>
  <si>
    <t>Assumption of Costco Chargers in FL per Store</t>
  </si>
  <si>
    <t>Assumption of Total Costco Chargers in FL</t>
  </si>
  <si>
    <t>Cost of Total Wawa EV Chargers</t>
  </si>
  <si>
    <t>Total Number of Wawa EV Chargers among Specific Locations</t>
  </si>
  <si>
    <t>EV Chargers per Wawa Location in U.S.</t>
  </si>
  <si>
    <t>Base Case</t>
  </si>
  <si>
    <t>Change % TGT Sales</t>
  </si>
  <si>
    <t>Earnings before Tax</t>
  </si>
  <si>
    <t xml:space="preserve">Net Income </t>
  </si>
  <si>
    <t>Subtotal Startup/Finish</t>
  </si>
  <si>
    <t>New Sales</t>
  </si>
  <si>
    <t>Electric Costs</t>
  </si>
  <si>
    <t>Plus Depreciation</t>
  </si>
  <si>
    <t>Subtotal Cash Income</t>
  </si>
  <si>
    <t>Total Cash Flows</t>
  </si>
  <si>
    <t>Electric Costs New Store</t>
  </si>
  <si>
    <t>WACC or Hurdle Rate</t>
  </si>
  <si>
    <t>Costco kWh Price with Member Discount</t>
  </si>
  <si>
    <t>Costco Revenue per Stall per Year</t>
  </si>
  <si>
    <t>Average Daily Throughput per Stall kWh</t>
  </si>
  <si>
    <t>Throughput per Stall per Year</t>
  </si>
  <si>
    <t>Revenue from One Stall per Year</t>
  </si>
  <si>
    <t>Price Wawa Charges for kWh</t>
  </si>
  <si>
    <t xml:space="preserve">Typical Costco Location Square Footage </t>
  </si>
  <si>
    <t xml:space="preserve">Typical Wawa Location Square Footage </t>
  </si>
  <si>
    <t>Total EV Chargers at Wawa</t>
  </si>
  <si>
    <t>Wawa Locations with EV Chargers</t>
  </si>
  <si>
    <t>Total Costco Locations FL, GA, TN, AL, SC, NC</t>
  </si>
  <si>
    <t>Site Prep &amp; Cabling</t>
  </si>
  <si>
    <t>Total Chargers, All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</si>
</sst>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0.000%"/>
    <numFmt numFmtId="167" formatCode="_(* #,##0_);_(* \(#,##0\);_(* &quot;-&quot;??_);_(@_)"/>
    <numFmt numFmtId="168" formatCode="0.0"/>
    <numFmt numFmtId="169" formatCode="&quot;$&quot;#,##0.000_);[Red]\(&quot;$&quot;#,##0.000\)"/>
    <numFmt numFmtId="170" formatCode="_(&quot;$&quot;* #,##0.000_);_(&quot;$&quot;* \(#,##0.0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164" fontId="2" fillId="2" borderId="0" xfId="2" applyNumberFormat="1" applyFont="1" applyFill="1"/>
    <xf numFmtId="9" fontId="2" fillId="2" borderId="0" xfId="3" applyFont="1" applyFill="1"/>
    <xf numFmtId="166" fontId="2" fillId="2" borderId="0" xfId="3" applyNumberFormat="1" applyFont="1" applyFill="1"/>
    <xf numFmtId="164" fontId="2" fillId="2" borderId="1" xfId="2" applyNumberFormat="1" applyFont="1" applyFill="1" applyBorder="1"/>
    <xf numFmtId="164" fontId="2" fillId="2" borderId="2" xfId="2" applyNumberFormat="1" applyFont="1" applyFill="1" applyBorder="1"/>
    <xf numFmtId="164" fontId="2" fillId="2" borderId="3" xfId="2" applyNumberFormat="1" applyFont="1" applyFill="1" applyBorder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 applyAlignment="1">
      <alignment horizontal="center"/>
    </xf>
    <xf numFmtId="0" fontId="2" fillId="4" borderId="4" xfId="0" applyFont="1" applyFill="1" applyBorder="1" applyAlignment="1">
      <alignment horizontal="center"/>
    </xf>
    <xf numFmtId="164" fontId="2" fillId="0" borderId="0" xfId="2" applyNumberFormat="1" applyFont="1"/>
    <xf numFmtId="164" fontId="2" fillId="0" borderId="5" xfId="2" applyNumberFormat="1" applyFont="1" applyBorder="1"/>
    <xf numFmtId="0" fontId="2" fillId="0" borderId="5" xfId="0" applyFont="1" applyBorder="1"/>
    <xf numFmtId="164" fontId="2" fillId="0" borderId="1" xfId="2" applyNumberFormat="1" applyFont="1" applyBorder="1"/>
    <xf numFmtId="164" fontId="2" fillId="0" borderId="6" xfId="2" applyNumberFormat="1" applyFont="1" applyBorder="1"/>
    <xf numFmtId="164" fontId="2" fillId="0" borderId="3" xfId="0" applyNumberFormat="1" applyFont="1" applyBorder="1"/>
    <xf numFmtId="0" fontId="2" fillId="2" borderId="5" xfId="0" applyFont="1" applyFill="1" applyBorder="1" applyAlignment="1">
      <alignment horizontal="center"/>
    </xf>
    <xf numFmtId="167" fontId="2" fillId="2" borderId="0" xfId="1" applyNumberFormat="1" applyFont="1" applyFill="1"/>
    <xf numFmtId="165" fontId="2" fillId="5" borderId="0" xfId="3" applyNumberFormat="1" applyFont="1" applyFill="1"/>
    <xf numFmtId="164" fontId="2" fillId="5" borderId="0" xfId="2" applyNumberFormat="1" applyFont="1" applyFill="1"/>
    <xf numFmtId="9" fontId="2" fillId="5" borderId="0" xfId="3" applyFont="1" applyFill="1"/>
    <xf numFmtId="165" fontId="2" fillId="3" borderId="0" xfId="0" applyNumberFormat="1" applyFont="1" applyFill="1"/>
    <xf numFmtId="164" fontId="2" fillId="2" borderId="0" xfId="2" applyNumberFormat="1" applyFont="1" applyFill="1" applyBorder="1"/>
    <xf numFmtId="44" fontId="0" fillId="0" borderId="0" xfId="0" applyNumberFormat="1"/>
    <xf numFmtId="164" fontId="2" fillId="0" borderId="0" xfId="0" applyNumberFormat="1" applyFont="1"/>
    <xf numFmtId="0" fontId="3" fillId="6" borderId="0" xfId="0" applyFont="1" applyFill="1"/>
    <xf numFmtId="0" fontId="3" fillId="6" borderId="1" xfId="0" applyFont="1" applyFill="1" applyBorder="1" applyAlignment="1">
      <alignment horizontal="center"/>
    </xf>
    <xf numFmtId="0" fontId="3" fillId="6" borderId="1" xfId="0" quotePrefix="1" applyFont="1" applyFill="1" applyBorder="1" applyAlignment="1">
      <alignment horizontal="center"/>
    </xf>
    <xf numFmtId="0" fontId="3" fillId="6" borderId="0" xfId="0" quotePrefix="1" applyFont="1" applyFill="1" applyAlignment="1">
      <alignment horizontal="center"/>
    </xf>
    <xf numFmtId="165" fontId="3" fillId="6" borderId="0" xfId="3" applyNumberFormat="1" applyFont="1" applyFill="1"/>
    <xf numFmtId="0" fontId="3" fillId="6" borderId="0" xfId="0" applyFont="1" applyFill="1" applyAlignment="1">
      <alignment horizontal="center"/>
    </xf>
    <xf numFmtId="0" fontId="3" fillId="2" borderId="0" xfId="0" applyFont="1" applyFill="1"/>
    <xf numFmtId="0" fontId="4" fillId="6" borderId="0" xfId="0" applyFont="1" applyFill="1"/>
    <xf numFmtId="165" fontId="3" fillId="6" borderId="0" xfId="3" applyNumberFormat="1" applyFont="1" applyFill="1" applyAlignment="1">
      <alignment horizontal="center"/>
    </xf>
    <xf numFmtId="0" fontId="0" fillId="6" borderId="0" xfId="0" applyFill="1"/>
    <xf numFmtId="0" fontId="3" fillId="7" borderId="1" xfId="0" applyFont="1" applyFill="1" applyBorder="1" applyAlignment="1">
      <alignment horizontal="center"/>
    </xf>
    <xf numFmtId="0" fontId="0" fillId="7" borderId="0" xfId="0" applyFill="1"/>
    <xf numFmtId="165" fontId="3" fillId="7" borderId="0" xfId="3" applyNumberFormat="1" applyFont="1" applyFill="1"/>
    <xf numFmtId="165" fontId="3" fillId="2" borderId="0" xfId="3" applyNumberFormat="1" applyFont="1" applyFill="1" applyBorder="1" applyAlignment="1">
      <alignment horizontal="center"/>
    </xf>
    <xf numFmtId="44" fontId="0" fillId="0" borderId="0" xfId="2" applyFont="1"/>
    <xf numFmtId="43" fontId="0" fillId="0" borderId="0" xfId="1" applyFont="1"/>
    <xf numFmtId="167" fontId="0" fillId="0" borderId="0" xfId="1" applyNumberFormat="1" applyFont="1"/>
    <xf numFmtId="168" fontId="0" fillId="0" borderId="0" xfId="0" applyNumberFormat="1"/>
    <xf numFmtId="43" fontId="0" fillId="0" borderId="0" xfId="0" applyNumberFormat="1"/>
    <xf numFmtId="164" fontId="0" fillId="0" borderId="0" xfId="2" applyNumberFormat="1" applyFont="1"/>
    <xf numFmtId="8" fontId="0" fillId="0" borderId="0" xfId="0" applyNumberFormat="1"/>
    <xf numFmtId="9" fontId="2" fillId="2" borderId="0" xfId="0" applyNumberFormat="1" applyFont="1" applyFill="1"/>
    <xf numFmtId="6" fontId="0" fillId="0" borderId="0" xfId="0" applyNumberFormat="1"/>
    <xf numFmtId="10" fontId="0" fillId="0" borderId="0" xfId="3" applyNumberFormat="1" applyFont="1"/>
    <xf numFmtId="10" fontId="2" fillId="5" borderId="0" xfId="3" applyNumberFormat="1" applyFont="1" applyFill="1"/>
    <xf numFmtId="167" fontId="0" fillId="9" borderId="0" xfId="1" applyNumberFormat="1" applyFont="1" applyFill="1"/>
    <xf numFmtId="44" fontId="0" fillId="9" borderId="0" xfId="2" applyFont="1" applyFill="1"/>
    <xf numFmtId="164" fontId="0" fillId="9" borderId="0" xfId="2" applyNumberFormat="1" applyFont="1" applyFill="1"/>
    <xf numFmtId="3" fontId="0" fillId="9" borderId="0" xfId="0" applyNumberFormat="1" applyFill="1"/>
    <xf numFmtId="0" fontId="0" fillId="9" borderId="0" xfId="0" applyFill="1"/>
    <xf numFmtId="8" fontId="0" fillId="9" borderId="0" xfId="0" applyNumberFormat="1" applyFill="1"/>
    <xf numFmtId="169" fontId="0" fillId="9" borderId="0" xfId="0" applyNumberFormat="1" applyFill="1"/>
    <xf numFmtId="0" fontId="0" fillId="0" borderId="7" xfId="0" applyBorder="1"/>
    <xf numFmtId="44" fontId="0" fillId="0" borderId="7" xfId="0" applyNumberFormat="1" applyBorder="1"/>
    <xf numFmtId="170" fontId="0" fillId="0" borderId="0" xfId="0" applyNumberFormat="1"/>
    <xf numFmtId="6" fontId="0" fillId="9" borderId="0" xfId="0" applyNumberFormat="1" applyFill="1"/>
    <xf numFmtId="164" fontId="2" fillId="3" borderId="0" xfId="0" applyNumberFormat="1" applyFont="1" applyFill="1"/>
    <xf numFmtId="0" fontId="2" fillId="8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FB6D-8747-43FE-9C3A-24DFF0F3A422}">
  <dimension ref="A1:L42"/>
  <sheetViews>
    <sheetView zoomScale="120" zoomScaleNormal="120" workbookViewId="0">
      <selection activeCell="A35" sqref="A35"/>
    </sheetView>
  </sheetViews>
  <sheetFormatPr defaultRowHeight="15" x14ac:dyDescent="0.25"/>
  <cols>
    <col min="1" max="1" width="32.85546875" bestFit="1" customWidth="1"/>
    <col min="2" max="2" width="17.140625" customWidth="1"/>
    <col min="3" max="3" width="21.7109375" bestFit="1" customWidth="1"/>
    <col min="4" max="4" width="14" bestFit="1" customWidth="1"/>
    <col min="5" max="5" width="15.42578125" bestFit="1" customWidth="1"/>
    <col min="6" max="6" width="14.140625" bestFit="1" customWidth="1"/>
    <col min="7" max="7" width="19.85546875" customWidth="1"/>
    <col min="8" max="8" width="18.28515625" customWidth="1"/>
    <col min="9" max="9" width="15.5703125" customWidth="1"/>
    <col min="10" max="11" width="14.5703125" bestFit="1" customWidth="1"/>
    <col min="12" max="12" width="14.5703125" customWidth="1"/>
  </cols>
  <sheetData>
    <row r="1" spans="1:12" x14ac:dyDescent="0.25">
      <c r="A1" s="1" t="s">
        <v>0</v>
      </c>
      <c r="B1" s="12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5.75" thickBot="1" x14ac:dyDescent="0.3">
      <c r="A2" s="1"/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</row>
    <row r="3" spans="1:12" ht="15.75" thickTop="1" x14ac:dyDescent="0.25">
      <c r="A3" s="1" t="s">
        <v>13</v>
      </c>
      <c r="B3" s="14">
        <f>-('Assumptions and Initial Numbers'!H2+'Assumptions and Initial Numbers'!H3)*'Assumptions and Initial Numbers'!E15</f>
        <v>-51445715.246636786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x14ac:dyDescent="0.25">
      <c r="A4" s="1" t="s">
        <v>14</v>
      </c>
      <c r="B4" s="14">
        <f>-'Assumptions and Initial Numbers'!H7*'Assumptions and Initial Numbers'!E15</f>
        <v>-2509547.0852017943</v>
      </c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" t="s">
        <v>34</v>
      </c>
      <c r="B5" s="14">
        <f>B31</f>
        <v>-37643206.278026916</v>
      </c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25">
      <c r="A6" s="1" t="s">
        <v>15</v>
      </c>
      <c r="B6" s="14">
        <f>-'Assumptions and Initial Numbers'!H4*'Assumptions and Initial Numbers'!E15</f>
        <v>-20076376.681614354</v>
      </c>
      <c r="C6" s="14"/>
      <c r="D6" s="14"/>
      <c r="E6" s="14"/>
      <c r="F6" s="14"/>
      <c r="G6" s="1"/>
      <c r="H6" s="14"/>
      <c r="I6" s="14"/>
      <c r="J6" s="14"/>
      <c r="K6" s="14"/>
      <c r="L6" s="14"/>
    </row>
    <row r="7" spans="1:12" x14ac:dyDescent="0.25">
      <c r="A7" s="1" t="s">
        <v>16</v>
      </c>
      <c r="B7" s="14">
        <f>-'Assumptions and Initial Numbers'!H5*'Assumptions and Initial Numbers'!E15</f>
        <v>-2509547.0852017943</v>
      </c>
      <c r="C7" s="14"/>
      <c r="D7" s="14"/>
      <c r="E7" s="14"/>
      <c r="F7" s="14"/>
      <c r="G7" s="1"/>
      <c r="H7" s="14"/>
      <c r="I7" s="14"/>
      <c r="J7" s="14"/>
      <c r="K7" s="14"/>
      <c r="L7" s="14"/>
    </row>
    <row r="8" spans="1:12" ht="15.75" thickBot="1" x14ac:dyDescent="0.3">
      <c r="A8" s="1" t="s">
        <v>81</v>
      </c>
      <c r="B8" s="15">
        <f>-'Assumptions and Initial Numbers'!H6*'Assumptions and Initial Numbers'!E15</f>
        <v>-10038188.340807177</v>
      </c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12" x14ac:dyDescent="0.25">
      <c r="A9" s="1" t="s">
        <v>100</v>
      </c>
      <c r="B9" s="14">
        <f>SUM(B3:B8)</f>
        <v>-124222580.71748883</v>
      </c>
      <c r="C9" s="14">
        <f t="shared" ref="C9:L9" si="0">+C3+C4+C6+C7+C8</f>
        <v>0</v>
      </c>
      <c r="D9" s="14">
        <f t="shared" si="0"/>
        <v>0</v>
      </c>
      <c r="E9" s="14">
        <f t="shared" si="0"/>
        <v>0</v>
      </c>
      <c r="F9" s="14">
        <f t="shared" si="0"/>
        <v>0</v>
      </c>
      <c r="G9" s="14">
        <f t="shared" si="0"/>
        <v>0</v>
      </c>
      <c r="H9" s="14">
        <f t="shared" si="0"/>
        <v>0</v>
      </c>
      <c r="I9" s="14">
        <f t="shared" si="0"/>
        <v>0</v>
      </c>
      <c r="J9" s="14">
        <f t="shared" si="0"/>
        <v>0</v>
      </c>
      <c r="K9" s="14">
        <f t="shared" si="0"/>
        <v>0</v>
      </c>
      <c r="L9" s="14">
        <f t="shared" si="0"/>
        <v>0</v>
      </c>
    </row>
    <row r="10" spans="1:12" x14ac:dyDescent="0.25">
      <c r="A10" s="1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x14ac:dyDescent="0.25">
      <c r="A11" s="1" t="s">
        <v>101</v>
      </c>
      <c r="B11" s="14"/>
      <c r="C11" s="14">
        <f>D28</f>
        <v>53470210.345624581</v>
      </c>
      <c r="D11" s="14">
        <f>C11*(1+$G$28)</f>
        <v>60421337.690555774</v>
      </c>
      <c r="E11" s="14">
        <f t="shared" ref="E11:L11" si="1">D11*(1+$G$28)</f>
        <v>68276111.590328023</v>
      </c>
      <c r="F11" s="14">
        <f t="shared" si="1"/>
        <v>77152006.097070664</v>
      </c>
      <c r="G11" s="14">
        <f t="shared" si="1"/>
        <v>87181766.889689848</v>
      </c>
      <c r="H11" s="14">
        <f t="shared" si="1"/>
        <v>98515396.585349515</v>
      </c>
      <c r="I11" s="14">
        <f t="shared" si="1"/>
        <v>111322398.14144494</v>
      </c>
      <c r="J11" s="14">
        <f t="shared" si="1"/>
        <v>125794309.89983277</v>
      </c>
      <c r="K11" s="14">
        <f t="shared" si="1"/>
        <v>142147570.18681103</v>
      </c>
      <c r="L11" s="14">
        <f t="shared" si="1"/>
        <v>160626754.31109646</v>
      </c>
    </row>
    <row r="12" spans="1:12" x14ac:dyDescent="0.25">
      <c r="A12" s="1" t="s">
        <v>102</v>
      </c>
      <c r="B12" s="14"/>
      <c r="C12" s="14">
        <f>-C11*B29</f>
        <v>-24945468.94886772</v>
      </c>
      <c r="D12" s="14">
        <f>+C12*(1+$B$30)</f>
        <v>-26816379.120032798</v>
      </c>
      <c r="E12" s="14">
        <f t="shared" ref="E12:L12" si="2">+D12*(1+$B$30)</f>
        <v>-28827607.554035258</v>
      </c>
      <c r="F12" s="14">
        <f t="shared" si="2"/>
        <v>-30989678.1205879</v>
      </c>
      <c r="G12" s="14">
        <f t="shared" si="2"/>
        <v>-33313903.97963199</v>
      </c>
      <c r="H12" s="14">
        <f t="shared" si="2"/>
        <v>-35812446.778104387</v>
      </c>
      <c r="I12" s="14">
        <f t="shared" si="2"/>
        <v>-38498380.286462218</v>
      </c>
      <c r="J12" s="14">
        <f t="shared" si="2"/>
        <v>-41385758.807946883</v>
      </c>
      <c r="K12" s="14">
        <f t="shared" si="2"/>
        <v>-44489690.718542896</v>
      </c>
      <c r="L12" s="14">
        <f t="shared" si="2"/>
        <v>-47826417.522433609</v>
      </c>
    </row>
    <row r="13" spans="1:12" x14ac:dyDescent="0.25">
      <c r="A13" s="1" t="s">
        <v>17</v>
      </c>
      <c r="B13" s="14"/>
      <c r="C13" s="14">
        <f t="shared" ref="C13" si="3">-C11*$D$31</f>
        <v>-1405346.3677130048</v>
      </c>
      <c r="D13" s="14">
        <f>+C13*(1+$B$30)</f>
        <v>-1510747.3452914802</v>
      </c>
      <c r="E13" s="14">
        <f t="shared" ref="E13:L13" si="4">+D13*(1+$B$30)</f>
        <v>-1624053.3961883411</v>
      </c>
      <c r="F13" s="14">
        <f t="shared" si="4"/>
        <v>-1745857.4009024666</v>
      </c>
      <c r="G13" s="14">
        <f t="shared" si="4"/>
        <v>-1876796.7059701516</v>
      </c>
      <c r="H13" s="14">
        <f t="shared" si="4"/>
        <v>-2017556.4589179128</v>
      </c>
      <c r="I13" s="14">
        <f t="shared" si="4"/>
        <v>-2168873.193336756</v>
      </c>
      <c r="J13" s="14">
        <f t="shared" si="4"/>
        <v>-2331538.6828370127</v>
      </c>
      <c r="K13" s="14">
        <f t="shared" si="4"/>
        <v>-2506404.0840497888</v>
      </c>
      <c r="L13" s="14">
        <f t="shared" si="4"/>
        <v>-2694384.3903535227</v>
      </c>
    </row>
    <row r="14" spans="1:12" x14ac:dyDescent="0.25">
      <c r="A14" s="1" t="s">
        <v>18</v>
      </c>
      <c r="B14" s="17"/>
      <c r="C14" s="17">
        <f>-$F$33</f>
        <v>-10195035.033632288</v>
      </c>
      <c r="D14" s="17">
        <f>-$F$33</f>
        <v>-10195035.033632288</v>
      </c>
      <c r="E14" s="17">
        <f>-$F$33</f>
        <v>-10195035.033632288</v>
      </c>
      <c r="F14" s="17">
        <f>-$F$33</f>
        <v>-10195035.033632288</v>
      </c>
      <c r="G14" s="17">
        <f>-$F$33</f>
        <v>-10195035.033632288</v>
      </c>
      <c r="H14" s="17">
        <f t="shared" ref="H14:J14" si="5">-$F$33</f>
        <v>-10195035.033632288</v>
      </c>
      <c r="I14" s="17">
        <f t="shared" si="5"/>
        <v>-10195035.033632288</v>
      </c>
      <c r="J14" s="17">
        <f t="shared" si="5"/>
        <v>-10195035.033632288</v>
      </c>
      <c r="K14" s="17">
        <v>0</v>
      </c>
      <c r="L14" s="17">
        <v>0</v>
      </c>
    </row>
    <row r="15" spans="1:12" x14ac:dyDescent="0.25">
      <c r="A15" s="1" t="s">
        <v>98</v>
      </c>
      <c r="B15" s="14"/>
      <c r="C15" s="14">
        <f t="shared" ref="C15:L15" si="6">SUM(C11:C14)</f>
        <v>16924359.995411567</v>
      </c>
      <c r="D15" s="14">
        <f t="shared" si="6"/>
        <v>21899176.191599213</v>
      </c>
      <c r="E15" s="14">
        <f t="shared" si="6"/>
        <v>27629415.606472135</v>
      </c>
      <c r="F15" s="14">
        <f t="shared" si="6"/>
        <v>34221435.541948013</v>
      </c>
      <c r="G15" s="14">
        <f t="shared" si="6"/>
        <v>41796031.170455419</v>
      </c>
      <c r="H15" s="14">
        <f t="shared" si="6"/>
        <v>50490358.314694926</v>
      </c>
      <c r="I15" s="14">
        <f t="shared" si="6"/>
        <v>60460109.628013678</v>
      </c>
      <c r="J15" s="14">
        <f t="shared" si="6"/>
        <v>71881977.375416592</v>
      </c>
      <c r="K15" s="14">
        <f t="shared" si="6"/>
        <v>95151475.384218335</v>
      </c>
      <c r="L15" s="14">
        <f t="shared" si="6"/>
        <v>110105952.39830934</v>
      </c>
    </row>
    <row r="16" spans="1:12" x14ac:dyDescent="0.25">
      <c r="A16" s="1" t="s">
        <v>19</v>
      </c>
      <c r="B16" s="17" t="s">
        <v>20</v>
      </c>
      <c r="C16" s="17">
        <f>-C15*$B$32</f>
        <v>-3554115.5990364291</v>
      </c>
      <c r="D16" s="17">
        <f t="shared" ref="D16:L16" si="7">-D15*$B$32</f>
        <v>-4598827.0002358342</v>
      </c>
      <c r="E16" s="17">
        <f t="shared" si="7"/>
        <v>-5802177.2773591485</v>
      </c>
      <c r="F16" s="17">
        <f t="shared" si="7"/>
        <v>-7186501.4638090823</v>
      </c>
      <c r="G16" s="17">
        <f t="shared" si="7"/>
        <v>-8777166.5457956381</v>
      </c>
      <c r="H16" s="17">
        <f t="shared" si="7"/>
        <v>-10602975.246085934</v>
      </c>
      <c r="I16" s="17">
        <f t="shared" si="7"/>
        <v>-12696623.021882871</v>
      </c>
      <c r="J16" s="17">
        <f t="shared" si="7"/>
        <v>-15095215.248837484</v>
      </c>
      <c r="K16" s="17">
        <f t="shared" si="7"/>
        <v>-19981809.83068585</v>
      </c>
      <c r="L16" s="17">
        <f t="shared" si="7"/>
        <v>-23122250.003644958</v>
      </c>
    </row>
    <row r="17" spans="1:12" x14ac:dyDescent="0.25">
      <c r="A17" s="1" t="s">
        <v>99</v>
      </c>
      <c r="B17" s="14"/>
      <c r="C17" s="14">
        <f t="shared" ref="C17:L17" si="8">+C15+C16</f>
        <v>13370244.396375138</v>
      </c>
      <c r="D17" s="14">
        <f t="shared" si="8"/>
        <v>17300349.191363379</v>
      </c>
      <c r="E17" s="14">
        <f t="shared" si="8"/>
        <v>21827238.329112984</v>
      </c>
      <c r="F17" s="14">
        <f t="shared" si="8"/>
        <v>27034934.078138933</v>
      </c>
      <c r="G17" s="14">
        <f t="shared" si="8"/>
        <v>33018864.62465978</v>
      </c>
      <c r="H17" s="14">
        <f t="shared" si="8"/>
        <v>39887383.068608992</v>
      </c>
      <c r="I17" s="14">
        <f t="shared" si="8"/>
        <v>47763486.606130809</v>
      </c>
      <c r="J17" s="14">
        <f t="shared" si="8"/>
        <v>56786762.126579106</v>
      </c>
      <c r="K17" s="14">
        <f t="shared" si="8"/>
        <v>75169665.553532481</v>
      </c>
      <c r="L17" s="14">
        <f t="shared" si="8"/>
        <v>86983702.394664377</v>
      </c>
    </row>
    <row r="18" spans="1:12" ht="15.75" thickBot="1" x14ac:dyDescent="0.3">
      <c r="A18" s="1" t="s">
        <v>103</v>
      </c>
      <c r="B18" s="15"/>
      <c r="C18" s="15">
        <f>-C14</f>
        <v>10195035.033632288</v>
      </c>
      <c r="D18" s="15">
        <f t="shared" ref="D18:L18" si="9">-D14</f>
        <v>10195035.033632288</v>
      </c>
      <c r="E18" s="15">
        <f t="shared" si="9"/>
        <v>10195035.033632288</v>
      </c>
      <c r="F18" s="15">
        <f t="shared" si="9"/>
        <v>10195035.033632288</v>
      </c>
      <c r="G18" s="15">
        <f t="shared" si="9"/>
        <v>10195035.033632288</v>
      </c>
      <c r="H18" s="15">
        <f t="shared" si="9"/>
        <v>10195035.033632288</v>
      </c>
      <c r="I18" s="15">
        <f t="shared" si="9"/>
        <v>10195035.033632288</v>
      </c>
      <c r="J18" s="15">
        <f t="shared" si="9"/>
        <v>10195035.033632288</v>
      </c>
      <c r="K18" s="15">
        <f t="shared" si="9"/>
        <v>0</v>
      </c>
      <c r="L18" s="15">
        <f t="shared" si="9"/>
        <v>0</v>
      </c>
    </row>
    <row r="19" spans="1:12" ht="15.75" thickBot="1" x14ac:dyDescent="0.3">
      <c r="A19" s="1" t="s">
        <v>104</v>
      </c>
      <c r="B19" s="18"/>
      <c r="C19" s="18">
        <f>+C17+C18</f>
        <v>23565279.430007428</v>
      </c>
      <c r="D19" s="18">
        <f t="shared" ref="D19:L19" si="10">+D17+D18</f>
        <v>27495384.224995665</v>
      </c>
      <c r="E19" s="18">
        <f t="shared" si="10"/>
        <v>32022273.36274527</v>
      </c>
      <c r="F19" s="18">
        <f t="shared" si="10"/>
        <v>37229969.111771218</v>
      </c>
      <c r="G19" s="18">
        <f t="shared" si="10"/>
        <v>43213899.65829207</v>
      </c>
      <c r="H19" s="18">
        <f t="shared" si="10"/>
        <v>50082418.102241278</v>
      </c>
      <c r="I19" s="18">
        <f t="shared" si="10"/>
        <v>57958521.639763094</v>
      </c>
      <c r="J19" s="18">
        <f t="shared" si="10"/>
        <v>66981797.160211392</v>
      </c>
      <c r="K19" s="18">
        <f t="shared" si="10"/>
        <v>75169665.553532481</v>
      </c>
      <c r="L19" s="18">
        <f t="shared" si="10"/>
        <v>86983702.394664377</v>
      </c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</row>
    <row r="22" spans="1:12" x14ac:dyDescent="0.25">
      <c r="A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5.75" thickBot="1" x14ac:dyDescent="0.3">
      <c r="A23" s="1" t="s">
        <v>105</v>
      </c>
      <c r="B23" s="19">
        <f>+B9+B19</f>
        <v>-124222580.71748883</v>
      </c>
      <c r="C23" s="19">
        <f>+C9+C19+C21</f>
        <v>23565279.430007428</v>
      </c>
      <c r="D23" s="19">
        <f t="shared" ref="D23:L23" si="11">+D9+D19+D21</f>
        <v>27495384.224995665</v>
      </c>
      <c r="E23" s="19">
        <f t="shared" si="11"/>
        <v>32022273.36274527</v>
      </c>
      <c r="F23" s="19">
        <f t="shared" si="11"/>
        <v>37229969.111771218</v>
      </c>
      <c r="G23" s="19">
        <f t="shared" si="11"/>
        <v>43213899.65829207</v>
      </c>
      <c r="H23" s="19">
        <f t="shared" si="11"/>
        <v>50082418.102241278</v>
      </c>
      <c r="I23" s="19">
        <f t="shared" si="11"/>
        <v>57958521.639763094</v>
      </c>
      <c r="J23" s="19">
        <f t="shared" si="11"/>
        <v>66981797.160211392</v>
      </c>
      <c r="K23" s="19">
        <f t="shared" si="11"/>
        <v>75169665.553532481</v>
      </c>
      <c r="L23" s="19">
        <f t="shared" si="11"/>
        <v>86983702.394664377</v>
      </c>
    </row>
    <row r="24" spans="1:12" ht="15.75" thickTop="1" x14ac:dyDescent="0.25">
      <c r="A24" s="1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1:12" x14ac:dyDescent="0.25">
      <c r="A25" s="10" t="s">
        <v>21</v>
      </c>
      <c r="B25" s="65">
        <f>NPV(B34,C23:L23)+B23</f>
        <v>45503765.500101358</v>
      </c>
      <c r="C25" s="11" t="s">
        <v>22</v>
      </c>
      <c r="D25" s="10"/>
    </row>
    <row r="26" spans="1:12" x14ac:dyDescent="0.25">
      <c r="A26" s="10" t="s">
        <v>23</v>
      </c>
      <c r="B26" s="25">
        <f>IRR(B23:L23)</f>
        <v>0.27819640447366578</v>
      </c>
      <c r="C26" s="11" t="s">
        <v>24</v>
      </c>
      <c r="D26" s="10"/>
    </row>
    <row r="27" spans="1:12" ht="15.75" thickBot="1" x14ac:dyDescent="0.3">
      <c r="A27" s="2" t="s">
        <v>25</v>
      </c>
      <c r="B27" s="3"/>
      <c r="C27" s="20" t="s">
        <v>26</v>
      </c>
      <c r="D27" s="20" t="s">
        <v>27</v>
      </c>
      <c r="E27" s="3"/>
      <c r="F27" s="3"/>
      <c r="G27" s="2" t="s">
        <v>28</v>
      </c>
      <c r="H27" s="2"/>
      <c r="I27" s="3"/>
    </row>
    <row r="28" spans="1:12" x14ac:dyDescent="0.25">
      <c r="A28" s="2" t="s">
        <v>29</v>
      </c>
      <c r="B28" s="4">
        <f>'Assumptions and Initial Numbers'!E23</f>
        <v>76386014.779463693</v>
      </c>
      <c r="C28" s="22">
        <v>0.7</v>
      </c>
      <c r="D28" s="21">
        <f>+B28*C28</f>
        <v>53470210.345624581</v>
      </c>
      <c r="E28" s="2" t="s">
        <v>30</v>
      </c>
      <c r="F28" s="23">
        <f>'Assumptions and Initial Numbers'!B39</f>
        <v>84069827.354260102</v>
      </c>
      <c r="G28" s="50">
        <v>0.13</v>
      </c>
      <c r="H28" s="50"/>
      <c r="I28" s="3"/>
    </row>
    <row r="29" spans="1:12" x14ac:dyDescent="0.25">
      <c r="A29" s="2" t="s">
        <v>106</v>
      </c>
      <c r="B29" s="22">
        <f>'Assumptions and Initial Numbers'!E32</f>
        <v>0.4665302191187094</v>
      </c>
      <c r="C29" s="6" t="s">
        <v>20</v>
      </c>
      <c r="D29" s="3"/>
      <c r="E29" s="2" t="s">
        <v>31</v>
      </c>
      <c r="F29" s="7">
        <f>B4</f>
        <v>-2509547.0852017943</v>
      </c>
      <c r="G29" s="2"/>
      <c r="H29" s="2"/>
      <c r="I29" s="3"/>
    </row>
    <row r="30" spans="1:12" ht="15.75" thickBot="1" x14ac:dyDescent="0.3">
      <c r="A30" s="2" t="s">
        <v>32</v>
      </c>
      <c r="B30" s="50">
        <f>B33*2.5</f>
        <v>7.4999999999999997E-2</v>
      </c>
      <c r="C30" s="6"/>
      <c r="D30" s="3"/>
      <c r="E30" s="2" t="s">
        <v>33</v>
      </c>
      <c r="F30" s="8">
        <f>+F28+F29</f>
        <v>81560280.269058302</v>
      </c>
      <c r="G30" s="2"/>
      <c r="H30" s="2"/>
      <c r="I30" s="3"/>
    </row>
    <row r="31" spans="1:12" ht="15.75" thickTop="1" x14ac:dyDescent="0.25">
      <c r="A31" s="2" t="s">
        <v>34</v>
      </c>
      <c r="B31" s="23">
        <f>-(15000*'Assumptions and Initial Numbers'!E15)</f>
        <v>-37643206.278026916</v>
      </c>
      <c r="C31" s="6" t="s">
        <v>82</v>
      </c>
      <c r="D31" s="53">
        <f>'Assumptions and Initial Numbers'!E36</f>
        <v>2.6282791083652488E-2</v>
      </c>
      <c r="E31" s="2"/>
      <c r="F31" s="26"/>
      <c r="G31" s="2"/>
      <c r="H31" s="2"/>
      <c r="I31" s="3"/>
    </row>
    <row r="32" spans="1:12" x14ac:dyDescent="0.25">
      <c r="A32" s="2" t="s">
        <v>35</v>
      </c>
      <c r="B32" s="24">
        <v>0.21</v>
      </c>
      <c r="C32" s="2"/>
      <c r="D32" s="3"/>
      <c r="E32" s="2"/>
      <c r="F32" s="2"/>
      <c r="G32" s="2"/>
      <c r="H32" s="2"/>
      <c r="I32" s="3"/>
    </row>
    <row r="33" spans="1:11" ht="15.75" thickBot="1" x14ac:dyDescent="0.3">
      <c r="A33" s="2" t="s">
        <v>36</v>
      </c>
      <c r="B33" s="5">
        <v>0.03</v>
      </c>
      <c r="C33" s="2"/>
      <c r="D33" s="3"/>
      <c r="E33" s="2" t="s">
        <v>18</v>
      </c>
      <c r="F33" s="9">
        <f>+F30/8</f>
        <v>10195035.033632288</v>
      </c>
      <c r="G33" s="2" t="s">
        <v>37</v>
      </c>
      <c r="H33" s="2"/>
      <c r="I33" s="3"/>
    </row>
    <row r="34" spans="1:11" ht="15.75" thickTop="1" x14ac:dyDescent="0.25">
      <c r="A34" s="2" t="s">
        <v>107</v>
      </c>
      <c r="B34" s="24">
        <v>0.2</v>
      </c>
      <c r="C34" s="2"/>
      <c r="D34" s="3"/>
      <c r="E34" s="2"/>
      <c r="F34" s="2"/>
      <c r="G34" s="2"/>
      <c r="H34" s="2"/>
      <c r="I34" s="3"/>
    </row>
    <row r="35" spans="1:11" x14ac:dyDescent="0.25">
      <c r="A35" s="1"/>
    </row>
    <row r="36" spans="1:11" ht="18.75" x14ac:dyDescent="0.3">
      <c r="A36" s="29" t="s">
        <v>38</v>
      </c>
      <c r="B36" s="30" t="s">
        <v>39</v>
      </c>
      <c r="C36" s="31" t="s">
        <v>40</v>
      </c>
      <c r="D36" s="39" t="s">
        <v>41</v>
      </c>
      <c r="E36" s="30" t="s">
        <v>42</v>
      </c>
      <c r="F36" s="30" t="s">
        <v>43</v>
      </c>
      <c r="G36" s="36"/>
      <c r="H36" s="36"/>
      <c r="I36" s="36"/>
      <c r="J36" s="36"/>
      <c r="K36" s="38"/>
    </row>
    <row r="37" spans="1:11" ht="18.75" x14ac:dyDescent="0.3">
      <c r="A37" s="35" t="s">
        <v>96</v>
      </c>
      <c r="B37" s="42">
        <v>-0.13200000000000001</v>
      </c>
      <c r="C37" s="32"/>
      <c r="D37" s="40"/>
      <c r="E37" s="33"/>
      <c r="F37" s="33"/>
      <c r="G37" s="36"/>
      <c r="H37" s="36"/>
      <c r="I37" s="36"/>
      <c r="J37" s="36"/>
      <c r="K37" s="38"/>
    </row>
    <row r="38" spans="1:11" ht="18.75" x14ac:dyDescent="0.3">
      <c r="A38" s="29"/>
      <c r="B38" s="34"/>
      <c r="C38" s="32"/>
      <c r="D38" s="40"/>
      <c r="E38" s="34"/>
      <c r="F38" s="34"/>
      <c r="G38" s="36"/>
      <c r="H38" s="36"/>
      <c r="I38" s="36"/>
      <c r="J38" s="36"/>
      <c r="K38" s="38"/>
    </row>
    <row r="39" spans="1:11" ht="18.75" x14ac:dyDescent="0.3">
      <c r="A39" s="29" t="s">
        <v>97</v>
      </c>
      <c r="B39" s="33">
        <v>0.7</v>
      </c>
      <c r="C39" s="33">
        <v>0.3</v>
      </c>
      <c r="D39" s="41">
        <v>0.4</v>
      </c>
      <c r="E39" s="37">
        <v>0.153</v>
      </c>
      <c r="F39" s="33">
        <v>0.27800000000000002</v>
      </c>
      <c r="G39" s="36"/>
      <c r="H39" s="36"/>
      <c r="I39" s="36"/>
      <c r="J39" s="36"/>
      <c r="K39" s="38"/>
    </row>
    <row r="40" spans="1:11" ht="18.75" x14ac:dyDescent="0.3">
      <c r="A40" s="29" t="s">
        <v>44</v>
      </c>
      <c r="B40" s="33">
        <v>0.13</v>
      </c>
      <c r="C40" s="33">
        <v>0.05</v>
      </c>
      <c r="D40" s="41">
        <v>0.08</v>
      </c>
      <c r="E40" s="37">
        <v>0.20499999999999999</v>
      </c>
      <c r="F40" s="33">
        <v>0.27800000000000002</v>
      </c>
      <c r="G40" s="29"/>
      <c r="H40" s="29" t="s">
        <v>45</v>
      </c>
      <c r="I40" s="36"/>
      <c r="J40" s="36"/>
      <c r="K40" s="38"/>
    </row>
    <row r="41" spans="1:11" ht="18.75" x14ac:dyDescent="0.3">
      <c r="A41" s="29" t="s">
        <v>46</v>
      </c>
      <c r="B41" s="36"/>
      <c r="C41" s="36"/>
      <c r="D41" s="40"/>
      <c r="E41" s="37">
        <v>8.5999999999999993E-2</v>
      </c>
      <c r="F41" s="33">
        <v>0.27800000000000002</v>
      </c>
      <c r="G41" s="36"/>
      <c r="H41" s="29" t="s">
        <v>47</v>
      </c>
      <c r="I41" s="36"/>
      <c r="J41" s="36"/>
      <c r="K41" s="38"/>
    </row>
    <row r="42" spans="1:11" ht="18.75" x14ac:dyDescent="0.3">
      <c r="A42" s="36"/>
      <c r="B42" s="36"/>
      <c r="C42" s="36"/>
      <c r="D42" s="40"/>
      <c r="E42" s="36"/>
      <c r="F42" s="36"/>
      <c r="G42" s="36"/>
      <c r="H42" s="36"/>
      <c r="I42" s="36"/>
      <c r="J42" s="36"/>
      <c r="K42" s="3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15D8-0D81-47AC-9238-2D3C56653E38}">
  <dimension ref="A1:H39"/>
  <sheetViews>
    <sheetView tabSelected="1" zoomScale="120" zoomScaleNormal="120" workbookViewId="0">
      <selection activeCell="H18" sqref="H18"/>
    </sheetView>
  </sheetViews>
  <sheetFormatPr defaultRowHeight="15" x14ac:dyDescent="0.25"/>
  <cols>
    <col min="1" max="1" width="60.7109375" bestFit="1" customWidth="1"/>
    <col min="2" max="2" width="18.140625" bestFit="1" customWidth="1"/>
    <col min="4" max="4" width="55.140625" bestFit="1" customWidth="1"/>
    <col min="5" max="6" width="15.5703125" bestFit="1" customWidth="1"/>
    <col min="7" max="7" width="27.42578125" customWidth="1"/>
    <col min="8" max="8" width="21.85546875" customWidth="1"/>
  </cols>
  <sheetData>
    <row r="1" spans="1:8" x14ac:dyDescent="0.25">
      <c r="A1" s="66" t="s">
        <v>48</v>
      </c>
      <c r="B1" s="66"/>
      <c r="C1" s="66"/>
      <c r="D1" s="66"/>
      <c r="E1" s="66"/>
      <c r="G1" s="66" t="s">
        <v>49</v>
      </c>
      <c r="H1" s="66"/>
    </row>
    <row r="2" spans="1:8" x14ac:dyDescent="0.25">
      <c r="A2" t="s">
        <v>50</v>
      </c>
      <c r="B2" s="54">
        <v>1203</v>
      </c>
      <c r="D2" t="s">
        <v>95</v>
      </c>
      <c r="E2" s="46">
        <f>B4/B3</f>
        <v>9.4843049327354265</v>
      </c>
      <c r="G2" t="s">
        <v>51</v>
      </c>
      <c r="H2" s="43">
        <v>12500</v>
      </c>
    </row>
    <row r="3" spans="1:8" x14ac:dyDescent="0.25">
      <c r="A3" t="s">
        <v>117</v>
      </c>
      <c r="B3" s="54">
        <v>223</v>
      </c>
      <c r="D3" t="s">
        <v>94</v>
      </c>
      <c r="E3" s="46">
        <f>E2*B5</f>
        <v>265.56053811659194</v>
      </c>
      <c r="G3" t="s">
        <v>52</v>
      </c>
      <c r="H3" s="43">
        <v>8000</v>
      </c>
    </row>
    <row r="4" spans="1:8" x14ac:dyDescent="0.25">
      <c r="A4" t="s">
        <v>116</v>
      </c>
      <c r="B4" s="54">
        <v>2115</v>
      </c>
      <c r="D4" t="s">
        <v>93</v>
      </c>
      <c r="E4" s="48">
        <f>E3*B15</f>
        <v>9161838.565022422</v>
      </c>
      <c r="F4" s="27"/>
      <c r="G4" t="s">
        <v>53</v>
      </c>
      <c r="H4" s="43">
        <v>8000</v>
      </c>
    </row>
    <row r="5" spans="1:8" x14ac:dyDescent="0.25">
      <c r="A5" t="s">
        <v>54</v>
      </c>
      <c r="B5" s="45">
        <f>5+9+6+2+6</f>
        <v>28</v>
      </c>
      <c r="G5" t="s">
        <v>55</v>
      </c>
      <c r="H5" s="43">
        <v>1000</v>
      </c>
    </row>
    <row r="6" spans="1:8" x14ac:dyDescent="0.25">
      <c r="A6" t="s">
        <v>115</v>
      </c>
      <c r="B6" s="54">
        <f>AVERAGE(2800,4400)</f>
        <v>3600</v>
      </c>
      <c r="G6" t="s">
        <v>119</v>
      </c>
      <c r="H6" s="43">
        <v>4000</v>
      </c>
    </row>
    <row r="7" spans="1:8" x14ac:dyDescent="0.25">
      <c r="G7" t="s">
        <v>56</v>
      </c>
      <c r="H7" s="43">
        <v>1000</v>
      </c>
    </row>
    <row r="8" spans="1:8" x14ac:dyDescent="0.25">
      <c r="G8" s="61" t="s">
        <v>57</v>
      </c>
      <c r="H8" s="62">
        <f>SUM(H2:H7)</f>
        <v>34500</v>
      </c>
    </row>
    <row r="9" spans="1:8" x14ac:dyDescent="0.25">
      <c r="A9" s="66" t="s">
        <v>58</v>
      </c>
      <c r="B9" s="66"/>
    </row>
    <row r="10" spans="1:8" x14ac:dyDescent="0.25">
      <c r="A10" t="s">
        <v>118</v>
      </c>
      <c r="B10" s="54">
        <f>34+16+9+5+7+10</f>
        <v>81</v>
      </c>
    </row>
    <row r="11" spans="1:8" x14ac:dyDescent="0.25">
      <c r="A11" t="s">
        <v>114</v>
      </c>
      <c r="B11" s="54">
        <v>147000</v>
      </c>
    </row>
    <row r="13" spans="1:8" x14ac:dyDescent="0.25">
      <c r="A13" s="66" t="s">
        <v>59</v>
      </c>
      <c r="B13" s="66"/>
      <c r="D13" s="66" t="s">
        <v>60</v>
      </c>
      <c r="E13" s="66"/>
    </row>
    <row r="14" spans="1:8" x14ac:dyDescent="0.25">
      <c r="A14" t="s">
        <v>61</v>
      </c>
      <c r="B14" s="55">
        <f>H8+B16</f>
        <v>49500</v>
      </c>
      <c r="D14" t="s">
        <v>62</v>
      </c>
      <c r="E14" s="46">
        <f>B11/B6</f>
        <v>40.833333333333336</v>
      </c>
    </row>
    <row r="15" spans="1:8" x14ac:dyDescent="0.25">
      <c r="A15" t="s">
        <v>63</v>
      </c>
      <c r="B15" s="56">
        <f>H8</f>
        <v>34500</v>
      </c>
      <c r="D15" t="s">
        <v>92</v>
      </c>
      <c r="E15" s="47">
        <f>(B10*E2*E14)*8%</f>
        <v>2509.5470852017943</v>
      </c>
    </row>
    <row r="16" spans="1:8" x14ac:dyDescent="0.25">
      <c r="A16" t="s">
        <v>64</v>
      </c>
      <c r="B16" s="64">
        <v>15000</v>
      </c>
      <c r="D16" t="s">
        <v>91</v>
      </c>
      <c r="E16" s="47">
        <f>E15/B10</f>
        <v>30.982062780269064</v>
      </c>
    </row>
    <row r="17" spans="1:5" x14ac:dyDescent="0.25">
      <c r="D17" t="s">
        <v>120</v>
      </c>
      <c r="E17" s="44">
        <f>E16*B10</f>
        <v>2509.5470852017943</v>
      </c>
    </row>
    <row r="18" spans="1:5" x14ac:dyDescent="0.25">
      <c r="D18" s="1" t="s">
        <v>90</v>
      </c>
      <c r="E18" s="14">
        <f>E17*B14</f>
        <v>124222580.71748881</v>
      </c>
    </row>
    <row r="21" spans="1:5" x14ac:dyDescent="0.25">
      <c r="A21" s="66" t="s">
        <v>65</v>
      </c>
      <c r="B21" s="66"/>
      <c r="D21" s="66" t="s">
        <v>66</v>
      </c>
      <c r="E21" s="66"/>
    </row>
    <row r="22" spans="1:5" x14ac:dyDescent="0.25">
      <c r="A22" t="s">
        <v>67</v>
      </c>
      <c r="B22" s="57">
        <v>75000</v>
      </c>
      <c r="D22" t="s">
        <v>88</v>
      </c>
      <c r="E22" s="43">
        <f>B26*E3</f>
        <v>9001851.618834082</v>
      </c>
    </row>
    <row r="23" spans="1:5" x14ac:dyDescent="0.25">
      <c r="A23" t="s">
        <v>110</v>
      </c>
      <c r="B23" s="58">
        <v>251</v>
      </c>
      <c r="D23" s="1" t="s">
        <v>89</v>
      </c>
      <c r="E23" s="14">
        <f>B34*E17</f>
        <v>76386014.779463693</v>
      </c>
    </row>
    <row r="24" spans="1:5" x14ac:dyDescent="0.25">
      <c r="A24" t="s">
        <v>111</v>
      </c>
      <c r="B24" s="45">
        <f>B23*365</f>
        <v>91615</v>
      </c>
    </row>
    <row r="25" spans="1:5" x14ac:dyDescent="0.25">
      <c r="A25" t="s">
        <v>113</v>
      </c>
      <c r="B25" s="55">
        <v>0.37</v>
      </c>
    </row>
    <row r="26" spans="1:5" x14ac:dyDescent="0.25">
      <c r="A26" t="s">
        <v>112</v>
      </c>
      <c r="B26" s="43">
        <f>B24*B25</f>
        <v>33897.550000000003</v>
      </c>
    </row>
    <row r="28" spans="1:5" x14ac:dyDescent="0.25">
      <c r="A28" s="66" t="s">
        <v>68</v>
      </c>
      <c r="B28" s="66"/>
      <c r="D28" s="66" t="s">
        <v>69</v>
      </c>
      <c r="E28" s="66"/>
    </row>
    <row r="29" spans="1:5" x14ac:dyDescent="0.25">
      <c r="A29" t="s">
        <v>70</v>
      </c>
      <c r="B29" s="59">
        <v>0.18</v>
      </c>
      <c r="D29" t="s">
        <v>85</v>
      </c>
      <c r="E29" s="60">
        <v>0.155</v>
      </c>
    </row>
    <row r="30" spans="1:5" x14ac:dyDescent="0.25">
      <c r="A30" t="s">
        <v>71</v>
      </c>
      <c r="B30" s="59">
        <v>3.75</v>
      </c>
      <c r="D30" t="s">
        <v>87</v>
      </c>
      <c r="E30" s="43">
        <f>E29*B24</f>
        <v>14200.325000000001</v>
      </c>
    </row>
    <row r="31" spans="1:5" x14ac:dyDescent="0.25">
      <c r="A31" t="s">
        <v>72</v>
      </c>
      <c r="B31" s="49">
        <f>B30-B29</f>
        <v>3.57</v>
      </c>
      <c r="D31" t="s">
        <v>86</v>
      </c>
      <c r="E31" s="43">
        <f>E30*E15</f>
        <v>35636384.212668173</v>
      </c>
    </row>
    <row r="32" spans="1:5" x14ac:dyDescent="0.25">
      <c r="A32" t="s">
        <v>73</v>
      </c>
      <c r="B32" s="52">
        <f>B31/B30</f>
        <v>0.95199999999999996</v>
      </c>
      <c r="D32" t="s">
        <v>74</v>
      </c>
      <c r="E32" s="52">
        <f>E31/E23</f>
        <v>0.4665302191187094</v>
      </c>
    </row>
    <row r="33" spans="1:5" x14ac:dyDescent="0.25">
      <c r="A33" t="s">
        <v>108</v>
      </c>
      <c r="B33" s="63">
        <f>(B32*B25)-0.02</f>
        <v>0.33223999999999998</v>
      </c>
    </row>
    <row r="34" spans="1:5" x14ac:dyDescent="0.25">
      <c r="A34" t="s">
        <v>109</v>
      </c>
      <c r="B34" s="43">
        <f>B33*B24</f>
        <v>30438.167599999997</v>
      </c>
      <c r="D34" t="s">
        <v>83</v>
      </c>
      <c r="E34" s="51">
        <v>800</v>
      </c>
    </row>
    <row r="35" spans="1:5" x14ac:dyDescent="0.25">
      <c r="D35" t="s">
        <v>84</v>
      </c>
      <c r="E35" s="43">
        <f>E34*E15</f>
        <v>2007637.6681614355</v>
      </c>
    </row>
    <row r="36" spans="1:5" x14ac:dyDescent="0.25">
      <c r="D36" t="s">
        <v>75</v>
      </c>
      <c r="E36" s="52">
        <f>E35/E23</f>
        <v>2.6282791083652488E-2</v>
      </c>
    </row>
    <row r="37" spans="1:5" x14ac:dyDescent="0.25">
      <c r="A37" s="66" t="s">
        <v>76</v>
      </c>
      <c r="B37" s="66"/>
    </row>
    <row r="38" spans="1:5" x14ac:dyDescent="0.25">
      <c r="A38" t="s">
        <v>77</v>
      </c>
      <c r="B38" s="27">
        <f>SUM(H2:H6)</f>
        <v>33500</v>
      </c>
      <c r="D38" t="s">
        <v>78</v>
      </c>
      <c r="E38" s="27">
        <f>E35+E31</f>
        <v>37644021.88082961</v>
      </c>
    </row>
    <row r="39" spans="1:5" x14ac:dyDescent="0.25">
      <c r="A39" t="s">
        <v>79</v>
      </c>
      <c r="B39" s="43">
        <f>B38*E15</f>
        <v>84069827.354260102</v>
      </c>
      <c r="D39" t="s">
        <v>80</v>
      </c>
      <c r="E39" s="52">
        <f>E38/E23</f>
        <v>0.4928130102023619</v>
      </c>
    </row>
  </sheetData>
  <mergeCells count="10">
    <mergeCell ref="A37:B37"/>
    <mergeCell ref="G1:H1"/>
    <mergeCell ref="A1:E1"/>
    <mergeCell ref="A28:B28"/>
    <mergeCell ref="D28:E28"/>
    <mergeCell ref="A13:B13"/>
    <mergeCell ref="D13:E13"/>
    <mergeCell ref="A9:B9"/>
    <mergeCell ref="A21:B21"/>
    <mergeCell ref="D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296D46FF90D3418607D31AA61DDF94" ma:contentTypeVersion="13" ma:contentTypeDescription="Create a new document." ma:contentTypeScope="" ma:versionID="68874ab2506a3d6f2f4995b994bd4262">
  <xsd:schema xmlns:xsd="http://www.w3.org/2001/XMLSchema" xmlns:xs="http://www.w3.org/2001/XMLSchema" xmlns:p="http://schemas.microsoft.com/office/2006/metadata/properties" xmlns:ns3="875b72ae-f9ab-4b32-94b3-80c68a43a281" xmlns:ns4="48093a0c-e74c-4bdd-b1e1-5eded139dc42" targetNamespace="http://schemas.microsoft.com/office/2006/metadata/properties" ma:root="true" ma:fieldsID="4ee4b5ebe6593f72f886c810afe2687b" ns3:_="" ns4:_="">
    <xsd:import namespace="875b72ae-f9ab-4b32-94b3-80c68a43a281"/>
    <xsd:import namespace="48093a0c-e74c-4bdd-b1e1-5eded139dc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5b72ae-f9ab-4b32-94b3-80c68a43a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93a0c-e74c-4bdd-b1e1-5eded139dc4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5b72ae-f9ab-4b32-94b3-80c68a43a281" xsi:nil="true"/>
  </documentManagement>
</p:properties>
</file>

<file path=customXml/itemProps1.xml><?xml version="1.0" encoding="utf-8"?>
<ds:datastoreItem xmlns:ds="http://schemas.openxmlformats.org/officeDocument/2006/customXml" ds:itemID="{189D3036-75B5-4FB1-87A6-A6251CB1D9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5b72ae-f9ab-4b32-94b3-80c68a43a281"/>
    <ds:schemaRef ds:uri="48093a0c-e74c-4bdd-b1e1-5eded139dc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920FBC-9FE6-45A9-A36F-F909B06854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CFCFCD-2DC2-400E-852F-B01319B73A8C}">
  <ds:schemaRefs>
    <ds:schemaRef ds:uri="http://schemas.microsoft.com/office/2006/metadata/properties"/>
    <ds:schemaRef ds:uri="http://schemas.microsoft.com/office/infopath/2007/PartnerControls"/>
    <ds:schemaRef ds:uri="875b72ae-f9ab-4b32-94b3-80c68a43a2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8 Analysis</vt:lpstr>
      <vt:lpstr>Assumptions and Initial Numbers</vt:lpstr>
    </vt:vector>
  </TitlesOfParts>
  <Manager/>
  <Company>UCF College of Business Administration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UCF</dc:creator>
  <cp:keywords/>
  <dc:description/>
  <cp:lastModifiedBy>Jack Griffin</cp:lastModifiedBy>
  <cp:revision/>
  <dcterms:created xsi:type="dcterms:W3CDTF">2009-04-10T14:23:28Z</dcterms:created>
  <dcterms:modified xsi:type="dcterms:W3CDTF">2026-07-13T20:53:21Z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0x0101006A296D46FF90D3418607D31AA61DDF94</vt:lpwstr>
  </property>
</Properties>
</file>